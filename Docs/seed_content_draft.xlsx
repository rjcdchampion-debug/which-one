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ssc\Claude\this-or-that\Docs\"/>
    </mc:Choice>
  </mc:AlternateContent>
  <xr:revisionPtr revIDLastSave="0" documentId="13_ncr:1_{C6B4C697-681A-4D92-A637-9CD59BA1829C}" xr6:coauthVersionLast="47" xr6:coauthVersionMax="47" xr10:uidLastSave="{00000000-0000-0000-0000-000000000000}"/>
  <bookViews>
    <workbookView xWindow="-23148" yWindow="192" windowWidth="23256" windowHeight="12456" xr2:uid="{00000000-000D-0000-FFFF-FFFF00000000}"/>
  </bookViews>
  <sheets>
    <sheet name="Seed content dra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</calcChain>
</file>

<file path=xl/sharedStrings.xml><?xml version="1.0" encoding="utf-8"?>
<sst xmlns="http://schemas.openxmlformats.org/spreadsheetml/2006/main" count="163" uniqueCount="106">
  <si>
    <t>Category</t>
  </si>
  <si>
    <t>Question</t>
  </si>
  <si>
    <t>Image A</t>
  </si>
  <si>
    <t>Image A URL</t>
  </si>
  <si>
    <t>Image B</t>
  </si>
  <si>
    <t>Image B URL</t>
  </si>
  <si>
    <t>Image C (optional)</t>
  </si>
  <si>
    <t>Image C URL</t>
  </si>
  <si>
    <t>Image D (optional)</t>
  </si>
  <si>
    <t>Image D URL</t>
  </si>
  <si>
    <t>Status</t>
  </si>
  <si>
    <t>Notes</t>
  </si>
  <si>
    <t>Food</t>
  </si>
  <si>
    <t>McDonald's or Burger King?</t>
  </si>
  <si>
    <t>https://images.unsplash.com/photo-1581966626689-b63d790b3d49?w=300&amp;q=70</t>
  </si>
  <si>
    <t>https://images.unsplash.com/photo-1599164441830-1abfe0108fef?w=300&amp;q=70</t>
  </si>
  <si>
    <t>Needs review</t>
  </si>
  <si>
    <t>Indian or Chinese takeaway?</t>
  </si>
  <si>
    <t>https://images.unsplash.com/photo-1710091691780-c7eb0dc50cf8?w=300&amp;q=70</t>
  </si>
  <si>
    <t>https://images.unsplash.com/photo-1578552606388-a0f1d618a9dd?w=300&amp;q=70</t>
  </si>
  <si>
    <t>Hot dog or burger?</t>
  </si>
  <si>
    <t>https://images.unsplash.com/photo-1613482084286-41f25b486fa2?w=300&amp;q=70</t>
  </si>
  <si>
    <t>https://images.unsplash.com/photo-1565060299583-08dd3af8e3cb?w=300&amp;q=70</t>
  </si>
  <si>
    <t>Pineapple on pizza or no pineapple?</t>
  </si>
  <si>
    <t>https://images.unsplash.com/photo-1671572579989-fa11cbd86eef?w=300&amp;q=70</t>
  </si>
  <si>
    <t>https://images.unsplash.com/photo-1597715469889-dd75fe4a1765?w=300&amp;q=70</t>
  </si>
  <si>
    <t>Thin crust or deep dish pizza?</t>
  </si>
  <si>
    <t>https://images.unsplash.com/photo-1554136812-8b7875b188b2?w=300&amp;q=70</t>
  </si>
  <si>
    <t>https://images.unsplash.com/photo-1765933613028-63223082b4ff?w=300&amp;q=70</t>
  </si>
  <si>
    <t>Fries or onion rings?</t>
  </si>
  <si>
    <t>https://images.unsplash.com/photo-1585109649139-366815a0d713?w=300&amp;q=70</t>
  </si>
  <si>
    <t>https://images.unsplash.com/photo-1630825533949-74f62f54553a?w=300&amp;q=70</t>
  </si>
  <si>
    <t>Coffee or tea?</t>
  </si>
  <si>
    <t>https://images.unsplash.com/photo-1497515114629-f71d768fd07c?w=300&amp;q=70</t>
  </si>
  <si>
    <t>https://images.unsplash.com/photo-1498604636225-6b87a314baa0?w=300&amp;q=70</t>
  </si>
  <si>
    <t>Sweet or salty popcorn?</t>
  </si>
  <si>
    <t>https://images.unsplash.com/photo-1553596235-ec4d55a7c7f4?w=300&amp;q=70</t>
  </si>
  <si>
    <t>https://images.unsplash.com/photo-1628359637595-b62379fb427d?w=300&amp;q=70</t>
  </si>
  <si>
    <t>Milk chocolate or dark chocolate?</t>
  </si>
  <si>
    <t>https://images.unsplash.com/photo-1614088685112-0a760b71a3c8?w=300&amp;q=70</t>
  </si>
  <si>
    <t>https://images.unsplash.com/photo-1565071559227-20ab25b7685e?w=300&amp;q=70</t>
  </si>
  <si>
    <t>Pancakes or waffles?</t>
  </si>
  <si>
    <t>https://images.unsplash.com/photo-1650134973809-d8c3a2da59ba?w=300&amp;q=70</t>
  </si>
  <si>
    <t>https://images.unsplash.com/photo-1568051243851-f9b136146e97?w=300&amp;q=70</t>
  </si>
  <si>
    <t>Bacon or sausage?</t>
  </si>
  <si>
    <t>https://images.unsplash.com/photo-1779649577828-a0dc5f7bb095?w=300&amp;q=70</t>
  </si>
  <si>
    <t>https://images.unsplash.com/photo-1551135020-39e4ca508d9b?w=300&amp;q=70</t>
  </si>
  <si>
    <t>Ice cream or cake for dessert?</t>
  </si>
  <si>
    <t>https://images.unsplash.com/photo-1560008581-09826d1de69e?w=300&amp;q=70</t>
  </si>
  <si>
    <t>https://images.unsplash.com/photo-1517427294546-5aa121f68e8a?w=300&amp;q=70</t>
  </si>
  <si>
    <t>Full English or continental breakfast?</t>
  </si>
  <si>
    <t>https://images.unsplash.com/photo-1655979283362-535e6a167a53?w=300&amp;q=70</t>
  </si>
  <si>
    <t>https://images.unsplash.com/photo-1687978975635-c20d06724c4b?w=300&amp;q=70</t>
  </si>
  <si>
    <t>Pets</t>
  </si>
  <si>
    <t>Cat or dog?</t>
  </si>
  <si>
    <t>https://images.unsplash.com/photo-1574158622682-e40e69881006?w=300&amp;q=70</t>
  </si>
  <si>
    <t>https://images.unsplash.com/photo-1497993950456-cdb57afd1cf1?w=300&amp;q=70</t>
  </si>
  <si>
    <t>Labrador or Golden Retriever?</t>
  </si>
  <si>
    <t>https://images.unsplash.com/photo-1561495376-dc9c7c5b8726?w=300&amp;q=70</t>
  </si>
  <si>
    <t>https://images.unsplash.com/photo-1599692392256-2d084495fe15?w=300&amp;q=70</t>
  </si>
  <si>
    <t>Puppy or kitten?</t>
  </si>
  <si>
    <t>https://images.unsplash.com/photo-1583512603805-3cc6b41f3edb?w=300&amp;q=70</t>
  </si>
  <si>
    <t>https://images.unsplash.com/photo-1595433707802-6b2626ef1c91?w=300&amp;q=70</t>
  </si>
  <si>
    <t>Big dog or small dog?</t>
  </si>
  <si>
    <t>https://images.unsplash.com/photo-1767632299289-c8cb171970ee?w=300&amp;q=70</t>
  </si>
  <si>
    <t>https://images.unsplash.com/photo-1747801553217-1620a17a939c?w=300&amp;q=70</t>
  </si>
  <si>
    <t>Image A is a weak match - recommend replacing</t>
  </si>
  <si>
    <t>Goldfish or hamster?</t>
  </si>
  <si>
    <t>https://images.unsplash.com/photo-1495594059084-33752639b9c3?w=300&amp;q=70</t>
  </si>
  <si>
    <t>https://images.unsplash.com/photo-1721327900411-b315dce4388e?w=300&amp;q=70</t>
  </si>
  <si>
    <t>Parrot or budgie?</t>
  </si>
  <si>
    <t>https://images.unsplash.com/photo-1656659267610-4b82d444cfad?w=300&amp;q=70</t>
  </si>
  <si>
    <t>https://images.unsplash.com/photo-1594911588637-c9e891bd7858?w=300&amp;q=70</t>
  </si>
  <si>
    <t>Image A has a human arm in frame</t>
  </si>
  <si>
    <t>Rabbit or guinea pig?</t>
  </si>
  <si>
    <t>https://images.unsplash.com/photo-1589933767411-38a58367efd7?w=300&amp;q=70</t>
  </si>
  <si>
    <t>https://images.unsplash.com/photo-1658938821608-7260a793cdc7?w=300&amp;q=70</t>
  </si>
  <si>
    <t>Fluffy cat or short-haired cat?</t>
  </si>
  <si>
    <t>https://images.unsplash.com/photo-1596854307809-6e754c522f95?w=300&amp;q=70</t>
  </si>
  <si>
    <t>Image B duplicates the Cat/Dog question's cat photo - needs a different pick</t>
  </si>
  <si>
    <t>Husky or German Shepherd?</t>
  </si>
  <si>
    <t>https://images.unsplash.com/photo-1734371868354-b0fe616a6771?w=300&amp;q=70</t>
  </si>
  <si>
    <t>https://images.unsplash.com/photo-1660573579418-6b93160dc15a?w=300&amp;q=70</t>
  </si>
  <si>
    <t>Image B not confidently a German Shepherd - recommend replacing</t>
  </si>
  <si>
    <t>Tabby cat or black cat?</t>
  </si>
  <si>
    <t>https://images.unsplash.com/photo-1761052016359-5e28af77e216?w=300&amp;q=70</t>
  </si>
  <si>
    <t>https://images.unsplash.com/photo-1617121544601-f9cd0e8f73b2?w=300&amp;q=70</t>
  </si>
  <si>
    <t>Dog in costume or bandana?</t>
  </si>
  <si>
    <t>https://images.unsplash.com/photo-1764433982071-765f14f2ffdd?w=300&amp;q=70</t>
  </si>
  <si>
    <t>https://images.unsplash.com/photo-1715227751449-b8056035fa17?w=300&amp;q=70</t>
  </si>
  <si>
    <t>Turtle or lizard?</t>
  </si>
  <si>
    <t>https://images.unsplash.com/photo-1634311762173-3b84e4c87ac6?w=300&amp;q=70</t>
  </si>
  <si>
    <t>https://images.unsplash.com/photo-1606468130092-4a7f1e6988b1?w=300&amp;q=70</t>
  </si>
  <si>
    <t>Poodle or Bulldog?</t>
  </si>
  <si>
    <t>https://images.unsplash.com/photo-1757041362869-ca293ad0aa76?w=300&amp;q=70</t>
  </si>
  <si>
    <t>https://images.unsplash.com/photo-1530100493986-978cbf8b782a?w=300&amp;q=70</t>
  </si>
  <si>
    <t>Pug or Beagle?</t>
  </si>
  <si>
    <t>https://images.unsplash.com/photo-1561726677-e72bf9c6af30?w=300&amp;q=70</t>
  </si>
  <si>
    <t>https://images.unsplash.com/photo-1683548986518-6b98437f9954?w=300&amp;q=70</t>
  </si>
  <si>
    <t>Image B breed uncertain - double check</t>
  </si>
  <si>
    <t>Chihuahua or Great Dane?</t>
  </si>
  <si>
    <t>https://images.unsplash.com/photo-1759227890689-0dc0cb6ed9dd?w=300&amp;q=70</t>
  </si>
  <si>
    <t>https://images.unsplash.com/photo-1621073995819-e5529abd88f7?w=300&amp;q=70</t>
  </si>
  <si>
    <t>Bird or fish as a pet?</t>
  </si>
  <si>
    <t>https://images.unsplash.com/photo-1609854838432-ac2871a437f4?w=300&amp;q=70</t>
  </si>
  <si>
    <t>https://images.unsplash.com/photo-1616768090994-4df138142ccb?w=300&amp;q=70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</si>
</sst>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34AB7"/>
        <bgColor rgb="FF534AB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.unsplash.com/photo-1554136812-8b7875b188b2?w=300&amp;q=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pane ySplit="1" topLeftCell="A4" activePane="bottomLeft" state="frozen"/>
      <selection pane="bottomLeft" activeCell="D6" sqref="D6"/>
    </sheetView>
  </sheetViews>
  <sheetFormatPr defaultRowHeight="14.6" x14ac:dyDescent="0.4"/>
  <cols>
    <col min="1" max="1" width="10" customWidth="1"/>
    <col min="2" max="2" width="32" customWidth="1"/>
    <col min="3" max="3" width="16" customWidth="1"/>
    <col min="4" max="4" width="42" customWidth="1"/>
    <col min="5" max="5" width="16" customWidth="1"/>
    <col min="6" max="6" width="42" customWidth="1"/>
    <col min="7" max="7" width="16" customWidth="1"/>
    <col min="8" max="8" width="42" customWidth="1"/>
    <col min="9" max="9" width="16" customWidth="1"/>
    <col min="10" max="10" width="42" customWidth="1"/>
    <col min="11" max="11" width="16" customWidth="1"/>
    <col min="12" max="12" width="34" customWidth="1"/>
  </cols>
  <sheetData>
    <row r="1" spans="1:12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90" customHeight="1" x14ac:dyDescent="0.4">
      <c r="A2" s="2" t="s">
        <v>12</v>
      </c>
      <c r="B2" s="2" t="s">
        <v>13</v>
      </c>
      <c r="C2" t="e">
        <f ca="1">_xludf.IMAGE("https://images.unsplash.com/photo-1581966626689-b63d790b3d49?w=300&amp;q=70")</f>
        <v>#NAME?</v>
      </c>
      <c r="D2" s="2" t="s">
        <v>14</v>
      </c>
      <c r="E2" t="e">
        <f ca="1">_xludf.IMAGE("https://images.unsplash.com/photo-1599164441830-1abfe0108fef?w=300&amp;q=70")</f>
        <v>#NAME?</v>
      </c>
      <c r="F2" s="2" t="s">
        <v>15</v>
      </c>
      <c r="G2" s="2"/>
      <c r="H2" s="2"/>
      <c r="I2" s="2"/>
      <c r="J2" s="2"/>
      <c r="K2" s="2" t="s">
        <v>16</v>
      </c>
      <c r="L2" s="2"/>
    </row>
    <row r="3" spans="1:12" ht="90" customHeight="1" x14ac:dyDescent="0.4">
      <c r="A3" s="2" t="s">
        <v>12</v>
      </c>
      <c r="B3" s="2" t="s">
        <v>17</v>
      </c>
      <c r="C3" t="e">
        <f ca="1">_xludf.IMAGE("https://images.unsplash.com/photo-1710091691780-c7eb0dc50cf8?w=300&amp;q=70")</f>
        <v>#NAME?</v>
      </c>
      <c r="D3" s="2" t="s">
        <v>18</v>
      </c>
      <c r="E3" t="e">
        <f ca="1">_xludf.IMAGE("https://images.unsplash.com/photo-1578552606388-a0f1d618a9dd?w=300&amp;q=70")</f>
        <v>#NAME?</v>
      </c>
      <c r="F3" s="2" t="s">
        <v>19</v>
      </c>
      <c r="G3" s="2"/>
      <c r="H3" s="2"/>
      <c r="I3" s="2"/>
      <c r="J3" s="2"/>
      <c r="K3" s="2" t="s">
        <v>16</v>
      </c>
      <c r="L3" s="2"/>
    </row>
    <row r="4" spans="1:12" ht="90" customHeight="1" x14ac:dyDescent="0.4">
      <c r="A4" s="2" t="s">
        <v>12</v>
      </c>
      <c r="B4" s="2" t="s">
        <v>20</v>
      </c>
      <c r="C4" t="e">
        <f ca="1">_xludf.IMAGE("https://images.unsplash.com/photo-1613482084286-41f25b486fa2?w=300&amp;q=70")</f>
        <v>#NAME?</v>
      </c>
      <c r="D4" s="2" t="s">
        <v>21</v>
      </c>
      <c r="E4" t="e">
        <f ca="1">_xludf.IMAGE("https://images.unsplash.com/photo-1565060299583-08dd3af8e3cb?w=300&amp;q=70")</f>
        <v>#NAME?</v>
      </c>
      <c r="F4" s="2" t="s">
        <v>22</v>
      </c>
      <c r="G4" s="2"/>
      <c r="H4" s="2"/>
      <c r="I4" s="2"/>
      <c r="J4" s="2"/>
      <c r="K4" s="2" t="s">
        <v>16</v>
      </c>
      <c r="L4" s="2"/>
    </row>
    <row r="5" spans="1:12" ht="90" customHeight="1" x14ac:dyDescent="0.4">
      <c r="A5" s="2" t="s">
        <v>12</v>
      </c>
      <c r="B5" s="2" t="s">
        <v>23</v>
      </c>
      <c r="C5" t="e">
        <f ca="1">_xludf.IMAGE("https://images.unsplash.com/photo-1671572579989-fa11cbd86eef?w=300&amp;q=70")</f>
        <v>#NAME?</v>
      </c>
      <c r="D5" s="2" t="s">
        <v>24</v>
      </c>
      <c r="E5" t="e">
        <f ca="1">_xludf.IMAGE("https://images.unsplash.com/photo-1597715469889-dd75fe4a1765?w=300&amp;q=70")</f>
        <v>#NAME?</v>
      </c>
      <c r="F5" s="2" t="s">
        <v>25</v>
      </c>
      <c r="G5" s="2"/>
      <c r="H5" s="2"/>
      <c r="I5" s="2"/>
      <c r="J5" s="2"/>
      <c r="K5" s="2" t="s">
        <v>16</v>
      </c>
      <c r="L5" s="2"/>
    </row>
    <row r="6" spans="1:12" ht="90" customHeight="1" x14ac:dyDescent="0.4">
      <c r="A6" s="2" t="s">
        <v>12</v>
      </c>
      <c r="B6" s="2" t="s">
        <v>26</v>
      </c>
      <c r="C6" t="e">
        <f ca="1">_xludf.IMAGE("https://images.unsplash.com/photo-1554136812-8b7875b188b2?w=300&amp;q=70")</f>
        <v>#NAME?</v>
      </c>
      <c r="D6" s="3" t="s">
        <v>27</v>
      </c>
      <c r="E6" t="e">
        <f ca="1">_xludf.IMAGE("https://images.unsplash.com/photo-1765933613028-63223082b4ff?w=300&amp;q=70")</f>
        <v>#NAME?</v>
      </c>
      <c r="F6" s="2" t="s">
        <v>28</v>
      </c>
      <c r="G6" s="2"/>
      <c r="H6" s="2"/>
      <c r="I6" s="2"/>
      <c r="J6" s="2"/>
      <c r="K6" s="2" t="s">
        <v>16</v>
      </c>
      <c r="L6" s="2"/>
    </row>
    <row r="7" spans="1:12" ht="90" customHeight="1" x14ac:dyDescent="0.4">
      <c r="A7" s="2" t="s">
        <v>12</v>
      </c>
      <c r="B7" s="2" t="s">
        <v>29</v>
      </c>
      <c r="C7" t="e">
        <f ca="1">_xludf.IMAGE("https://images.unsplash.com/photo-1585109649139-366815a0d713?w=300&amp;q=70")</f>
        <v>#NAME?</v>
      </c>
      <c r="D7" s="2" t="s">
        <v>30</v>
      </c>
      <c r="E7" t="e">
        <f ca="1">_xludf.IMAGE("https://images.unsplash.com/photo-1630825533949-74f62f54553a?w=300&amp;q=70")</f>
        <v>#NAME?</v>
      </c>
      <c r="F7" s="2" t="s">
        <v>31</v>
      </c>
      <c r="G7" s="2"/>
      <c r="H7" s="2"/>
      <c r="I7" s="2"/>
      <c r="J7" s="2"/>
      <c r="K7" s="2" t="s">
        <v>16</v>
      </c>
      <c r="L7" s="2"/>
    </row>
    <row r="8" spans="1:12" ht="90" customHeight="1" x14ac:dyDescent="0.4">
      <c r="A8" s="2" t="s">
        <v>12</v>
      </c>
      <c r="B8" s="2" t="s">
        <v>32</v>
      </c>
      <c r="C8" t="e">
        <f ca="1">_xludf.IMAGE("https://images.unsplash.com/photo-1497515114629-f71d768fd07c?w=300&amp;q=70")</f>
        <v>#NAME?</v>
      </c>
      <c r="D8" s="2" t="s">
        <v>33</v>
      </c>
      <c r="E8" t="e">
        <f ca="1">_xludf.IMAGE("https://images.unsplash.com/photo-1498604636225-6b87a314baa0?w=300&amp;q=70")</f>
        <v>#NAME?</v>
      </c>
      <c r="F8" s="2" t="s">
        <v>34</v>
      </c>
      <c r="G8" s="2"/>
      <c r="H8" s="2"/>
      <c r="I8" s="2"/>
      <c r="J8" s="2"/>
      <c r="K8" s="2" t="s">
        <v>16</v>
      </c>
      <c r="L8" s="2"/>
    </row>
    <row r="9" spans="1:12" ht="90" customHeight="1" x14ac:dyDescent="0.4">
      <c r="A9" s="2" t="s">
        <v>12</v>
      </c>
      <c r="B9" s="2" t="s">
        <v>35</v>
      </c>
      <c r="C9" t="e">
        <f ca="1">_xludf.IMAGE("https://images.unsplash.com/photo-1553596235-ec4d55a7c7f4?w=300&amp;q=70")</f>
        <v>#NAME?</v>
      </c>
      <c r="D9" s="2" t="s">
        <v>36</v>
      </c>
      <c r="E9" t="e">
        <f ca="1">_xludf.IMAGE("https://images.unsplash.com/photo-1628359637595-b62379fb427d?w=300&amp;q=70")</f>
        <v>#NAME?</v>
      </c>
      <c r="F9" s="2" t="s">
        <v>37</v>
      </c>
      <c r="G9" s="2"/>
      <c r="H9" s="2"/>
      <c r="I9" s="2"/>
      <c r="J9" s="2"/>
      <c r="K9" s="2" t="s">
        <v>16</v>
      </c>
      <c r="L9" s="2"/>
    </row>
    <row r="10" spans="1:12" ht="90" customHeight="1" x14ac:dyDescent="0.4">
      <c r="A10" s="2" t="s">
        <v>12</v>
      </c>
      <c r="B10" s="2" t="s">
        <v>38</v>
      </c>
      <c r="C10" t="e">
        <f ca="1">_xludf.IMAGE("https://images.unsplash.com/photo-1614088685112-0a760b71a3c8?w=300&amp;q=70")</f>
        <v>#NAME?</v>
      </c>
      <c r="D10" s="2" t="s">
        <v>39</v>
      </c>
      <c r="E10" t="e">
        <f ca="1">_xludf.IMAGE("https://images.unsplash.com/photo-1565071559227-20ab25b7685e?w=300&amp;q=70")</f>
        <v>#NAME?</v>
      </c>
      <c r="F10" s="2" t="s">
        <v>40</v>
      </c>
      <c r="G10" s="2"/>
      <c r="H10" s="2"/>
      <c r="I10" s="2"/>
      <c r="J10" s="2"/>
      <c r="K10" s="2" t="s">
        <v>16</v>
      </c>
      <c r="L10" s="2"/>
    </row>
    <row r="11" spans="1:12" ht="90" customHeight="1" x14ac:dyDescent="0.4">
      <c r="A11" s="2" t="s">
        <v>12</v>
      </c>
      <c r="B11" s="2" t="s">
        <v>41</v>
      </c>
      <c r="C11" t="e">
        <f ca="1">_xludf.IMAGE("https://images.unsplash.com/photo-1650134973809-d8c3a2da59ba?w=300&amp;q=70")</f>
        <v>#NAME?</v>
      </c>
      <c r="D11" s="2" t="s">
        <v>42</v>
      </c>
      <c r="E11" t="e">
        <f ca="1">_xludf.IMAGE("https://images.unsplash.com/photo-1568051243851-f9b136146e97?w=300&amp;q=70")</f>
        <v>#NAME?</v>
      </c>
      <c r="F11" s="2" t="s">
        <v>43</v>
      </c>
      <c r="G11" s="2"/>
      <c r="H11" s="2"/>
      <c r="I11" s="2"/>
      <c r="J11" s="2"/>
      <c r="K11" s="2" t="s">
        <v>16</v>
      </c>
      <c r="L11" s="2"/>
    </row>
    <row r="12" spans="1:12" ht="90" customHeight="1" x14ac:dyDescent="0.4">
      <c r="A12" s="2" t="s">
        <v>12</v>
      </c>
      <c r="B12" s="2" t="s">
        <v>44</v>
      </c>
      <c r="C12" t="e">
        <f ca="1">_xludf.IMAGE("https://images.unsplash.com/photo-1779649577828-a0dc5f7bb095?w=300&amp;q=70")</f>
        <v>#NAME?</v>
      </c>
      <c r="D12" s="2" t="s">
        <v>45</v>
      </c>
      <c r="E12" t="e">
        <f ca="1">_xludf.IMAGE("https://images.unsplash.com/photo-1551135020-39e4ca508d9b?w=300&amp;q=70")</f>
        <v>#NAME?</v>
      </c>
      <c r="F12" s="2" t="s">
        <v>46</v>
      </c>
      <c r="G12" s="2"/>
      <c r="H12" s="2"/>
      <c r="I12" s="2"/>
      <c r="J12" s="2"/>
      <c r="K12" s="2" t="s">
        <v>16</v>
      </c>
      <c r="L12" s="2"/>
    </row>
    <row r="13" spans="1:12" ht="90" customHeight="1" x14ac:dyDescent="0.4">
      <c r="A13" s="2" t="s">
        <v>12</v>
      </c>
      <c r="B13" s="2" t="s">
        <v>47</v>
      </c>
      <c r="C13" t="e">
        <f ca="1">_xludf.IMAGE("https://images.unsplash.com/photo-1560008581-09826d1de69e?w=300&amp;q=70")</f>
        <v>#NAME?</v>
      </c>
      <c r="D13" s="2" t="s">
        <v>48</v>
      </c>
      <c r="E13" t="e">
        <f ca="1">_xludf.IMAGE("https://images.unsplash.com/photo-1517427294546-5aa121f68e8a?w=300&amp;q=70")</f>
        <v>#NAME?</v>
      </c>
      <c r="F13" s="2" t="s">
        <v>49</v>
      </c>
      <c r="G13" s="2"/>
      <c r="H13" s="2"/>
      <c r="I13" s="2"/>
      <c r="J13" s="2"/>
      <c r="K13" s="2" t="s">
        <v>16</v>
      </c>
      <c r="L13" s="2"/>
    </row>
    <row r="14" spans="1:12" ht="90" customHeight="1" x14ac:dyDescent="0.4">
      <c r="A14" s="2" t="s">
        <v>12</v>
      </c>
      <c r="B14" s="2" t="s">
        <v>50</v>
      </c>
      <c r="C14" t="e">
        <f ca="1">_xludf.IMAGE("https://images.unsplash.com/photo-1655979283362-535e6a167a53?w=300&amp;q=70")</f>
        <v>#NAME?</v>
      </c>
      <c r="D14" s="2" t="s">
        <v>51</v>
      </c>
      <c r="E14" t="e">
        <f ca="1">_xludf.IMAGE("https://images.unsplash.com/photo-1687978975635-c20d06724c4b?w=300&amp;q=70")</f>
        <v>#NAME?</v>
      </c>
      <c r="F14" s="2" t="s">
        <v>52</v>
      </c>
      <c r="G14" s="2"/>
      <c r="H14" s="2"/>
      <c r="I14" s="2"/>
      <c r="J14" s="2"/>
      <c r="K14" s="2" t="s">
        <v>16</v>
      </c>
      <c r="L14" s="2"/>
    </row>
    <row r="15" spans="1:12" ht="90" customHeight="1" x14ac:dyDescent="0.4">
      <c r="A15" s="2" t="s">
        <v>53</v>
      </c>
      <c r="B15" s="2" t="s">
        <v>54</v>
      </c>
      <c r="C15" t="e">
        <f ca="1">_xludf.IMAGE("https://images.unsplash.com/photo-1574158622682-e40e69881006?w=300&amp;q=70")</f>
        <v>#NAME?</v>
      </c>
      <c r="D15" s="2" t="s">
        <v>55</v>
      </c>
      <c r="E15" t="e">
        <f ca="1">_xludf.IMAGE("https://images.unsplash.com/photo-1497993950456-cdb57afd1cf1?w=300&amp;q=70")</f>
        <v>#NAME?</v>
      </c>
      <c r="F15" s="2" t="s">
        <v>56</v>
      </c>
      <c r="G15" s="2"/>
      <c r="H15" s="2"/>
      <c r="I15" s="2"/>
      <c r="J15" s="2"/>
      <c r="K15" s="2" t="s">
        <v>16</v>
      </c>
      <c r="L15" s="2"/>
    </row>
    <row r="16" spans="1:12" ht="90" customHeight="1" x14ac:dyDescent="0.4">
      <c r="A16" s="2" t="s">
        <v>53</v>
      </c>
      <c r="B16" s="2" t="s">
        <v>57</v>
      </c>
      <c r="C16" t="e">
        <f ca="1">_xludf.IMAGE("https://images.unsplash.com/photo-1561495376-dc9c7c5b8726?w=300&amp;q=70")</f>
        <v>#NAME?</v>
      </c>
      <c r="D16" s="2" t="s">
        <v>58</v>
      </c>
      <c r="E16" t="e">
        <f ca="1">_xludf.IMAGE("https://images.unsplash.com/photo-1599692392256-2d084495fe15?w=300&amp;q=70")</f>
        <v>#NAME?</v>
      </c>
      <c r="F16" s="2" t="s">
        <v>59</v>
      </c>
      <c r="G16" s="2"/>
      <c r="H16" s="2"/>
      <c r="I16" s="2"/>
      <c r="J16" s="2"/>
      <c r="K16" s="2" t="s">
        <v>16</v>
      </c>
      <c r="L16" s="2"/>
    </row>
    <row r="17" spans="1:12" ht="90" customHeight="1" x14ac:dyDescent="0.4">
      <c r="A17" s="2" t="s">
        <v>53</v>
      </c>
      <c r="B17" s="2" t="s">
        <v>60</v>
      </c>
      <c r="C17" t="e">
        <f ca="1">_xludf.IMAGE("https://images.unsplash.com/photo-1583512603805-3cc6b41f3edb?w=300&amp;q=70")</f>
        <v>#NAME?</v>
      </c>
      <c r="D17" s="2" t="s">
        <v>61</v>
      </c>
      <c r="E17" t="e">
        <f ca="1">_xludf.IMAGE("https://images.unsplash.com/photo-1595433707802-6b2626ef1c91?w=300&amp;q=70")</f>
        <v>#NAME?</v>
      </c>
      <c r="F17" s="2" t="s">
        <v>62</v>
      </c>
      <c r="G17" s="2"/>
      <c r="H17" s="2"/>
      <c r="I17" s="2"/>
      <c r="J17" s="2"/>
      <c r="K17" s="2" t="s">
        <v>16</v>
      </c>
      <c r="L17" s="2"/>
    </row>
    <row r="18" spans="1:12" ht="90" customHeight="1" x14ac:dyDescent="0.4">
      <c r="A18" s="2" t="s">
        <v>53</v>
      </c>
      <c r="B18" s="2" t="s">
        <v>63</v>
      </c>
      <c r="C18" t="e">
        <f ca="1">_xludf.IMAGE("https://images.unsplash.com/photo-1767632299289-c8cb171970ee?w=300&amp;q=70")</f>
        <v>#NAME?</v>
      </c>
      <c r="D18" s="2" t="s">
        <v>64</v>
      </c>
      <c r="E18" t="e">
        <f ca="1">_xludf.IMAGE("https://images.unsplash.com/photo-1747801553217-1620a17a939c?w=300&amp;q=70")</f>
        <v>#NAME?</v>
      </c>
      <c r="F18" s="2" t="s">
        <v>65</v>
      </c>
      <c r="G18" s="2"/>
      <c r="H18" s="2"/>
      <c r="I18" s="2"/>
      <c r="J18" s="2"/>
      <c r="K18" s="2" t="s">
        <v>16</v>
      </c>
      <c r="L18" s="2" t="s">
        <v>66</v>
      </c>
    </row>
    <row r="19" spans="1:12" ht="90" customHeight="1" x14ac:dyDescent="0.4">
      <c r="A19" s="2" t="s">
        <v>53</v>
      </c>
      <c r="B19" s="2" t="s">
        <v>67</v>
      </c>
      <c r="C19" t="e">
        <f ca="1">_xludf.IMAGE("https://images.unsplash.com/photo-1495594059084-33752639b9c3?w=300&amp;q=70")</f>
        <v>#NAME?</v>
      </c>
      <c r="D19" s="2" t="s">
        <v>68</v>
      </c>
      <c r="E19" t="e">
        <f ca="1">_xludf.IMAGE("https://images.unsplash.com/photo-1721327900411-b315dce4388e?w=300&amp;q=70")</f>
        <v>#NAME?</v>
      </c>
      <c r="F19" s="2" t="s">
        <v>69</v>
      </c>
      <c r="G19" s="2"/>
      <c r="H19" s="2"/>
      <c r="I19" s="2"/>
      <c r="J19" s="2"/>
      <c r="K19" s="2" t="s">
        <v>16</v>
      </c>
      <c r="L19" s="2"/>
    </row>
    <row r="20" spans="1:12" ht="90" customHeight="1" x14ac:dyDescent="0.4">
      <c r="A20" s="2" t="s">
        <v>53</v>
      </c>
      <c r="B20" s="2" t="s">
        <v>70</v>
      </c>
      <c r="C20" t="e">
        <f ca="1">_xludf.IMAGE("https://images.unsplash.com/photo-1656659267610-4b82d444cfad?w=300&amp;q=70")</f>
        <v>#NAME?</v>
      </c>
      <c r="D20" s="2" t="s">
        <v>71</v>
      </c>
      <c r="E20" t="e">
        <f ca="1">_xludf.IMAGE("https://images.unsplash.com/photo-1594911588637-c9e891bd7858?w=300&amp;q=70")</f>
        <v>#NAME?</v>
      </c>
      <c r="F20" s="2" t="s">
        <v>72</v>
      </c>
      <c r="G20" s="2"/>
      <c r="H20" s="2"/>
      <c r="I20" s="2"/>
      <c r="J20" s="2"/>
      <c r="K20" s="2" t="s">
        <v>16</v>
      </c>
      <c r="L20" s="2" t="s">
        <v>73</v>
      </c>
    </row>
    <row r="21" spans="1:12" ht="90" customHeight="1" x14ac:dyDescent="0.4">
      <c r="A21" s="2" t="s">
        <v>53</v>
      </c>
      <c r="B21" s="2" t="s">
        <v>74</v>
      </c>
      <c r="C21" t="e">
        <f ca="1">_xludf.IMAGE("https://images.unsplash.com/photo-1589933767411-38a58367efd7?w=300&amp;q=70")</f>
        <v>#NAME?</v>
      </c>
      <c r="D21" s="2" t="s">
        <v>75</v>
      </c>
      <c r="E21" t="e">
        <f ca="1">_xludf.IMAGE("https://images.unsplash.com/photo-1658938821608-7260a793cdc7?w=300&amp;q=70")</f>
        <v>#NAME?</v>
      </c>
      <c r="F21" s="2" t="s">
        <v>76</v>
      </c>
      <c r="G21" s="2"/>
      <c r="H21" s="2"/>
      <c r="I21" s="2"/>
      <c r="J21" s="2"/>
      <c r="K21" s="2" t="s">
        <v>16</v>
      </c>
      <c r="L21" s="2"/>
    </row>
    <row r="22" spans="1:12" ht="90" customHeight="1" x14ac:dyDescent="0.4">
      <c r="A22" s="2" t="s">
        <v>53</v>
      </c>
      <c r="B22" s="2" t="s">
        <v>77</v>
      </c>
      <c r="C22" t="e">
        <f ca="1">_xludf.IMAGE("https://images.unsplash.com/photo-1596854307809-6e754c522f95?w=300&amp;q=70")</f>
        <v>#NAME?</v>
      </c>
      <c r="D22" s="2" t="s">
        <v>78</v>
      </c>
      <c r="E22" t="e">
        <f ca="1">_xludf.IMAGE("https://images.unsplash.com/photo-1574158622682-e40e69881006?w=300&amp;q=70")</f>
        <v>#NAME?</v>
      </c>
      <c r="F22" s="2" t="s">
        <v>55</v>
      </c>
      <c r="G22" s="2"/>
      <c r="H22" s="2"/>
      <c r="I22" s="2"/>
      <c r="J22" s="2"/>
      <c r="K22" s="2" t="s">
        <v>16</v>
      </c>
      <c r="L22" s="2" t="s">
        <v>79</v>
      </c>
    </row>
    <row r="23" spans="1:12" ht="90" customHeight="1" x14ac:dyDescent="0.4">
      <c r="A23" s="2" t="s">
        <v>53</v>
      </c>
      <c r="B23" s="2" t="s">
        <v>80</v>
      </c>
      <c r="C23" t="e">
        <f ca="1">_xludf.IMAGE("https://images.unsplash.com/photo-1734371868354-b0fe616a6771?w=300&amp;q=70")</f>
        <v>#NAME?</v>
      </c>
      <c r="D23" s="2" t="s">
        <v>81</v>
      </c>
      <c r="E23" t="e">
        <f ca="1">_xludf.IMAGE("https://images.unsplash.com/photo-1660573579418-6b93160dc15a?w=300&amp;q=70")</f>
        <v>#NAME?</v>
      </c>
      <c r="F23" s="2" t="s">
        <v>82</v>
      </c>
      <c r="G23" s="2"/>
      <c r="H23" s="2"/>
      <c r="I23" s="2"/>
      <c r="J23" s="2"/>
      <c r="K23" s="2" t="s">
        <v>16</v>
      </c>
      <c r="L23" s="2" t="s">
        <v>83</v>
      </c>
    </row>
    <row r="24" spans="1:12" ht="90" customHeight="1" x14ac:dyDescent="0.4">
      <c r="A24" s="2" t="s">
        <v>53</v>
      </c>
      <c r="B24" s="2" t="s">
        <v>84</v>
      </c>
      <c r="C24" t="e">
        <f ca="1">_xludf.IMAGE("https://images.unsplash.com/photo-1761052016359-5e28af77e216?w=300&amp;q=70")</f>
        <v>#NAME?</v>
      </c>
      <c r="D24" s="2" t="s">
        <v>85</v>
      </c>
      <c r="E24" t="e">
        <f ca="1">_xludf.IMAGE("https://images.unsplash.com/photo-1617121544601-f9cd0e8f73b2?w=300&amp;q=70")</f>
        <v>#NAME?</v>
      </c>
      <c r="F24" s="2" t="s">
        <v>86</v>
      </c>
      <c r="G24" s="2"/>
      <c r="H24" s="2"/>
      <c r="I24" s="2"/>
      <c r="J24" s="2"/>
      <c r="K24" s="2" t="s">
        <v>16</v>
      </c>
      <c r="L24" s="2"/>
    </row>
    <row r="25" spans="1:12" ht="90" customHeight="1" x14ac:dyDescent="0.4">
      <c r="A25" s="2" t="s">
        <v>53</v>
      </c>
      <c r="B25" s="2" t="s">
        <v>87</v>
      </c>
      <c r="C25" t="e">
        <f ca="1">_xludf.IMAGE("https://images.unsplash.com/photo-1764433982071-765f14f2ffdd?w=300&amp;q=70")</f>
        <v>#NAME?</v>
      </c>
      <c r="D25" s="2" t="s">
        <v>88</v>
      </c>
      <c r="E25" t="e">
        <f ca="1">_xludf.IMAGE("https://images.unsplash.com/photo-1715227751449-b8056035fa17?w=300&amp;q=70")</f>
        <v>#NAME?</v>
      </c>
      <c r="F25" s="2" t="s">
        <v>89</v>
      </c>
      <c r="G25" s="2"/>
      <c r="H25" s="2"/>
      <c r="I25" s="2"/>
      <c r="J25" s="2"/>
      <c r="K25" s="2" t="s">
        <v>16</v>
      </c>
      <c r="L25" s="2"/>
    </row>
    <row r="26" spans="1:12" ht="90" customHeight="1" x14ac:dyDescent="0.4">
      <c r="A26" s="2" t="s">
        <v>53</v>
      </c>
      <c r="B26" s="2" t="s">
        <v>90</v>
      </c>
      <c r="C26" t="e">
        <f ca="1">_xludf.IMAGE("https://images.unsplash.com/photo-1634311762173-3b84e4c87ac6?w=300&amp;q=70")</f>
        <v>#NAME?</v>
      </c>
      <c r="D26" s="2" t="s">
        <v>91</v>
      </c>
      <c r="E26" t="e">
        <f ca="1">_xludf.IMAGE("https://images.unsplash.com/photo-1606468130092-4a7f1e6988b1?w=300&amp;q=70")</f>
        <v>#NAME?</v>
      </c>
      <c r="F26" s="2" t="s">
        <v>92</v>
      </c>
      <c r="G26" s="2"/>
      <c r="H26" s="2"/>
      <c r="I26" s="2"/>
      <c r="J26" s="2"/>
      <c r="K26" s="2" t="s">
        <v>16</v>
      </c>
      <c r="L26" s="2"/>
    </row>
    <row r="27" spans="1:12" ht="90" customHeight="1" x14ac:dyDescent="0.4">
      <c r="A27" s="2" t="s">
        <v>53</v>
      </c>
      <c r="B27" s="2" t="s">
        <v>93</v>
      </c>
      <c r="C27" t="e">
        <f ca="1">_xludf.IMAGE("https://images.unsplash.com/photo-1757041362869-ca293ad0aa76?w=300&amp;q=70")</f>
        <v>#NAME?</v>
      </c>
      <c r="D27" s="2" t="s">
        <v>94</v>
      </c>
      <c r="E27" t="e">
        <f ca="1">_xludf.IMAGE("https://images.unsplash.com/photo-1530100493986-978cbf8b782a?w=300&amp;q=70")</f>
        <v>#NAME?</v>
      </c>
      <c r="F27" s="2" t="s">
        <v>95</v>
      </c>
      <c r="G27" s="2"/>
      <c r="H27" s="2"/>
      <c r="I27" s="2"/>
      <c r="J27" s="2"/>
      <c r="K27" s="2" t="s">
        <v>16</v>
      </c>
      <c r="L27" s="2"/>
    </row>
    <row r="28" spans="1:12" ht="90" customHeight="1" x14ac:dyDescent="0.4">
      <c r="A28" s="2" t="s">
        <v>53</v>
      </c>
      <c r="B28" s="2" t="s">
        <v>96</v>
      </c>
      <c r="C28" t="e">
        <f ca="1">_xludf.IMAGE("https://images.unsplash.com/photo-1561726677-e72bf9c6af30?w=300&amp;q=70")</f>
        <v>#NAME?</v>
      </c>
      <c r="D28" s="2" t="s">
        <v>97</v>
      </c>
      <c r="E28" t="e">
        <f ca="1">_xludf.IMAGE("https://images.unsplash.com/photo-1683548986518-6b98437f9954?w=300&amp;q=70")</f>
        <v>#NAME?</v>
      </c>
      <c r="F28" s="2" t="s">
        <v>98</v>
      </c>
      <c r="G28" s="2"/>
      <c r="H28" s="2"/>
      <c r="I28" s="2"/>
      <c r="J28" s="2"/>
      <c r="K28" s="2" t="s">
        <v>16</v>
      </c>
      <c r="L28" s="2" t="s">
        <v>99</v>
      </c>
    </row>
    <row r="29" spans="1:12" ht="90" customHeight="1" x14ac:dyDescent="0.4">
      <c r="A29" s="2" t="s">
        <v>53</v>
      </c>
      <c r="B29" s="2" t="s">
        <v>100</v>
      </c>
      <c r="C29" t="e">
        <f ca="1">_xludf.IMAGE("https://images.unsplash.com/photo-1759227890689-0dc0cb6ed9dd?w=300&amp;q=70")</f>
        <v>#NAME?</v>
      </c>
      <c r="D29" s="2" t="s">
        <v>101</v>
      </c>
      <c r="E29" t="e">
        <f ca="1">_xludf.IMAGE("https://images.unsplash.com/photo-1621073995819-e5529abd88f7?w=300&amp;q=70")</f>
        <v>#NAME?</v>
      </c>
      <c r="F29" s="2" t="s">
        <v>102</v>
      </c>
      <c r="G29" s="2"/>
      <c r="H29" s="2"/>
      <c r="I29" s="2"/>
      <c r="J29" s="2"/>
      <c r="K29" s="2" t="s">
        <v>16</v>
      </c>
      <c r="L29" s="2" t="s">
        <v>99</v>
      </c>
    </row>
    <row r="30" spans="1:12" ht="90" customHeight="1" x14ac:dyDescent="0.4">
      <c r="A30" s="2" t="s">
        <v>53</v>
      </c>
      <c r="B30" s="2" t="s">
        <v>103</v>
      </c>
      <c r="C30" t="e">
        <f ca="1">_xludf.IMAGE("https://images.unsplash.com/photo-1609854838432-ac2871a437f4?w=300&amp;q=70")</f>
        <v>#NAME?</v>
      </c>
      <c r="D30" s="2" t="s">
        <v>104</v>
      </c>
      <c r="E30" t="e">
        <f ca="1">_xludf.IMAGE("https://images.unsplash.com/photo-1616768090994-4df138142ccb?w=300&amp;q=70")</f>
        <v>#NAME?</v>
      </c>
      <c r="F30" s="2" t="s">
        <v>105</v>
      </c>
      <c r="G30" s="2"/>
      <c r="H30" s="2"/>
      <c r="I30" s="2"/>
      <c r="J30" s="2"/>
      <c r="K30" s="2" t="s">
        <v>16</v>
      </c>
      <c r="L30" s="2"/>
    </row>
  </sheetData>
  <dataValidations count="1">
    <dataValidation type="list" allowBlank="1" sqref="K2:K30" xr:uid="{00000000-0002-0000-0000-000000000000}">
      <formula1>"Needs review,Approved,Rejected"</formula1>
    </dataValidation>
  </dataValidations>
  <hyperlinks>
    <hyperlink ref="D6" r:id="rId1" xr:uid="{AFE314CE-0A29-448E-8D41-4C1FF7F4149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 content draft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Ross Champion</cp:lastModifiedBy>
  <dcterms:created xsi:type="dcterms:W3CDTF">2026-07-16T11:39:04Z</dcterms:created>
  <dcterms:modified xsi:type="dcterms:W3CDTF">2026-07-16T11:49:23Z</dcterms:modified>
</cp:coreProperties>
</file>